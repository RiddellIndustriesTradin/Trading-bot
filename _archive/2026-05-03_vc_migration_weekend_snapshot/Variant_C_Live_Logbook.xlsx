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rade Log" sheetId="1" state="visible" r:id="rId1"/>
    <sheet name="Running Metrics" sheetId="2" state="visible" r:id="rId2"/>
    <sheet name="Referenc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.00"/>
    <numFmt numFmtId="165" formatCode="0.000000"/>
    <numFmt numFmtId="166" formatCode="\$#,##0.00;&quot;($&quot;#,##0.00\);\-"/>
    <numFmt numFmtId="167" formatCode="0.00\%"/>
    <numFmt numFmtId="168" formatCode="0.0%"/>
    <numFmt numFmtId="169" formatCode="0.000"/>
    <numFmt numFmtId="170" formatCode="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color rgb="FF1F4E78"/>
      <sz val="12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08080"/>
      <sz val="10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1" fontId="6" fillId="0" borderId="0" applyAlignment="1" pivotButton="0" quotePrefix="0" xfId="0">
      <alignment horizontal="right" vertical="bottom"/>
    </xf>
    <xf numFmtId="168" fontId="6" fillId="0" borderId="0" applyAlignment="1" pivotButton="0" quotePrefix="0" xfId="0">
      <alignment horizontal="right" vertical="bottom"/>
    </xf>
    <xf numFmtId="0" fontId="9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10" fontId="10" fillId="0" borderId="0" applyAlignment="1" pivotButton="0" quotePrefix="0" xfId="0">
      <alignment horizontal="right" vertical="bottom"/>
    </xf>
    <xf numFmtId="169" fontId="6" fillId="0" borderId="0" applyAlignment="1" pivotButton="0" quotePrefix="0" xfId="0">
      <alignment horizontal="right" vertical="bottom"/>
    </xf>
    <xf numFmtId="169" fontId="10" fillId="0" borderId="0" applyAlignment="1" pivotButton="0" quotePrefix="0" xfId="0">
      <alignment horizontal="right" vertical="bottom"/>
    </xf>
    <xf numFmtId="164" fontId="5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center" vertical="bottom"/>
    </xf>
    <xf numFmtId="1" fontId="5" fillId="0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169" fontId="5" fillId="0" borderId="0" applyAlignment="1" pivotButton="0" quotePrefix="0" xfId="0">
      <alignment horizontal="general" vertical="bottom"/>
    </xf>
    <xf numFmtId="169" fontId="6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170" fontId="6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1" fontId="6" fillId="0" borderId="0" applyAlignment="1" pivotButton="0" quotePrefix="0" xfId="0">
      <alignment horizontal="right" vertical="bottom"/>
    </xf>
    <xf numFmtId="168" fontId="6" fillId="0" borderId="0" applyAlignment="1" pivotButton="0" quotePrefix="0" xfId="0">
      <alignment horizontal="right" vertical="bottom"/>
    </xf>
    <xf numFmtId="0" fontId="9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10" fontId="10" fillId="0" borderId="0" applyAlignment="1" pivotButton="0" quotePrefix="0" xfId="0">
      <alignment horizontal="right" vertical="bottom"/>
    </xf>
    <xf numFmtId="169" fontId="6" fillId="0" borderId="0" applyAlignment="1" pivotButton="0" quotePrefix="0" xfId="0">
      <alignment horizontal="right" vertical="bottom"/>
    </xf>
    <xf numFmtId="169" fontId="10" fillId="0" borderId="0" applyAlignment="1" pivotButton="0" quotePrefix="0" xfId="0">
      <alignment horizontal="right" vertical="bottom"/>
    </xf>
    <xf numFmtId="164" fontId="5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center" vertical="bottom"/>
    </xf>
    <xf numFmtId="1" fontId="5" fillId="0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169" fontId="5" fillId="0" borderId="0" applyAlignment="1" pivotButton="0" quotePrefix="0" xfId="0">
      <alignment horizontal="general" vertical="bottom"/>
    </xf>
    <xf numFmtId="169" fontId="6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170" fontId="6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9" min="1" max="1"/>
    <col width="13" customWidth="1" style="39" min="2" max="3"/>
    <col width="16" customWidth="1" style="39" min="4" max="7"/>
    <col width="14" customWidth="1" style="39" min="8" max="9"/>
    <col width="12" customWidth="1" style="39" min="10" max="10"/>
    <col width="10" customWidth="1" style="39" min="11" max="12"/>
    <col width="16" customWidth="1" style="39" min="13" max="14"/>
    <col width="20" customWidth="1" style="39" min="15" max="15"/>
    <col width="16" customWidth="1" style="39" min="16" max="16"/>
    <col width="40" customWidth="1" style="39" min="17" max="17"/>
  </cols>
  <sheetData>
    <row r="1" ht="30" customHeight="1" s="40">
      <c r="A1" s="41" t="inlineStr">
        <is>
          <t>Trade #</t>
        </is>
      </c>
      <c r="B1" s="41" t="inlineStr">
        <is>
          <t>Entry Date</t>
        </is>
      </c>
      <c r="C1" s="41" t="inlineStr">
        <is>
          <t>Exit Date</t>
        </is>
      </c>
      <c r="D1" s="41" t="inlineStr">
        <is>
          <t>Entry Price (Pine)</t>
        </is>
      </c>
      <c r="E1" s="41" t="inlineStr">
        <is>
          <t>Entry Price (Fill)</t>
        </is>
      </c>
      <c r="F1" s="41" t="inlineStr">
        <is>
          <t>Exit Price (Pine)</t>
        </is>
      </c>
      <c r="G1" s="41" t="inlineStr">
        <is>
          <t>Exit Price (Fill)</t>
        </is>
      </c>
      <c r="H1" s="41" t="inlineStr">
        <is>
          <t>Quantity (BTC)</t>
        </is>
      </c>
      <c r="I1" s="41" t="inlineStr">
        <is>
          <t>Exit Reason</t>
        </is>
      </c>
      <c r="J1" s="41" t="inlineStr">
        <is>
          <t>P&amp;L USD</t>
        </is>
      </c>
      <c r="K1" s="41" t="inlineStr">
        <is>
          <t>P&amp;L %</t>
        </is>
      </c>
      <c r="L1" s="41" t="inlineStr">
        <is>
          <t>Hold Days</t>
        </is>
      </c>
      <c r="M1" s="41" t="inlineStr">
        <is>
          <t>Entry Slippage $</t>
        </is>
      </c>
      <c r="N1" s="41" t="inlineStr">
        <is>
          <t>Exit Slippage $</t>
        </is>
      </c>
      <c r="O1" s="41" t="inlineStr">
        <is>
          <t>Account Balance After</t>
        </is>
      </c>
      <c r="P1" s="41" t="inlineStr">
        <is>
          <t>Cumulative P&amp;L</t>
        </is>
      </c>
      <c r="Q1" s="41" t="inlineStr">
        <is>
          <t>Notes</t>
        </is>
      </c>
    </row>
    <row r="2" ht="15" customHeight="1" s="40">
      <c r="A2" s="42" t="n">
        <v>1</v>
      </c>
      <c r="B2" s="42" t="inlineStr">
        <is>
          <t>2026-05-04</t>
        </is>
      </c>
      <c r="C2" s="42" t="inlineStr">
        <is>
          <t>2026-05-05</t>
        </is>
      </c>
      <c r="D2" s="43" t="n">
        <v>78547.39999999999</v>
      </c>
      <c r="E2" s="43" t="n">
        <v>78555</v>
      </c>
      <c r="F2" s="43" t="n">
        <v>79843.7</v>
      </c>
      <c r="G2" s="43" t="n">
        <v>79852</v>
      </c>
      <c r="H2" s="44" t="n">
        <v>0.0015</v>
      </c>
      <c r="I2" s="42" t="inlineStr">
        <is>
          <t>MONDAY_EXIT</t>
        </is>
      </c>
      <c r="J2" s="45" t="n">
        <v>1.94</v>
      </c>
      <c r="K2" s="46" t="n">
        <v>1.65</v>
      </c>
      <c r="L2" s="42" t="n">
        <v>1</v>
      </c>
      <c r="M2" s="47">
        <f>E2-D2</f>
        <v/>
      </c>
      <c r="N2" s="47">
        <f>G2-F2</f>
        <v/>
      </c>
      <c r="O2" s="43" t="n">
        <v>733.23</v>
      </c>
      <c r="P2" s="47">
        <f>J2</f>
        <v/>
      </c>
      <c r="Q2" s="42" t="inlineStr">
        <is>
          <t>First organic fire. Cascade clean. Net slippage neutral.</t>
        </is>
      </c>
    </row>
    <row r="3" ht="15" customHeight="1" s="40">
      <c r="A3" s="48" t="n">
        <v>2</v>
      </c>
      <c r="B3" s="42" t="inlineStr">
        <is>
          <t>2026-05-11</t>
        </is>
      </c>
      <c r="C3" s="42" t="inlineStr">
        <is>
          <t>2026-05-12</t>
        </is>
      </c>
      <c r="D3" s="43" t="n">
        <v>82171.8</v>
      </c>
      <c r="E3" s="43" t="n">
        <v>82182.60000000001</v>
      </c>
      <c r="F3" s="43" t="n">
        <v>81730.5</v>
      </c>
      <c r="G3" s="43" t="n">
        <v>81730.5</v>
      </c>
      <c r="H3" s="44" t="n">
        <v>0.0014</v>
      </c>
      <c r="I3" s="42" t="inlineStr">
        <is>
          <t>MONDAY_EXIT</t>
        </is>
      </c>
      <c r="J3" s="45" t="n">
        <v>-0.62</v>
      </c>
      <c r="K3" s="46" t="n">
        <v>-0.54</v>
      </c>
      <c r="L3" s="42" t="n">
        <v>1</v>
      </c>
      <c r="M3" s="47">
        <f>IF(AND(E3&lt;&gt;"",D3&lt;&gt;""),E3-D3,"")</f>
        <v/>
      </c>
      <c r="N3" s="47">
        <f>IF(AND(G3&lt;&gt;"",F3&lt;&gt;""),G3-F3,"")</f>
        <v/>
      </c>
      <c r="O3" s="43" t="n">
        <v>730.76</v>
      </c>
      <c r="P3" s="47">
        <f>IF(J3&lt;&gt;"",P2+J3,"")</f>
        <v/>
      </c>
      <c r="Q3" s="42" t="inlineStr">
        <is>
          <t>Clean MONDAY_EXIT, no SL threat</t>
        </is>
      </c>
    </row>
    <row r="4" ht="15" customHeight="1" s="40">
      <c r="A4" s="48" t="n">
        <v>3</v>
      </c>
      <c r="B4" s="42" t="n"/>
      <c r="C4" s="42" t="n"/>
      <c r="D4" s="43" t="n"/>
      <c r="E4" s="43" t="n"/>
      <c r="F4" s="43" t="n"/>
      <c r="G4" s="43" t="n"/>
      <c r="H4" s="44" t="n"/>
      <c r="I4" s="42" t="n"/>
      <c r="J4" s="45" t="n"/>
      <c r="K4" s="46" t="n"/>
      <c r="L4" s="42" t="n"/>
      <c r="M4" s="47">
        <f>IF(AND(E4&lt;&gt;"",D4&lt;&gt;""),E4-D4,"")</f>
        <v/>
      </c>
      <c r="N4" s="47">
        <f>IF(AND(G4&lt;&gt;"",F4&lt;&gt;""),G4-F4,"")</f>
        <v/>
      </c>
      <c r="O4" s="43" t="n"/>
      <c r="P4" s="47">
        <f>IF(J4&lt;&gt;"",P3+J4,"")</f>
        <v/>
      </c>
      <c r="Q4" s="42" t="n"/>
    </row>
    <row r="5" ht="15" customHeight="1" s="40">
      <c r="A5" s="48" t="n">
        <v>4</v>
      </c>
      <c r="B5" s="42" t="n"/>
      <c r="C5" s="42" t="n"/>
      <c r="D5" s="43" t="n"/>
      <c r="E5" s="43" t="n"/>
      <c r="F5" s="43" t="n"/>
      <c r="G5" s="43" t="n"/>
      <c r="H5" s="44" t="n"/>
      <c r="I5" s="42" t="n"/>
      <c r="J5" s="45" t="n"/>
      <c r="K5" s="46" t="n"/>
      <c r="L5" s="42" t="n"/>
      <c r="M5" s="47">
        <f>IF(AND(E5&lt;&gt;"",D5&lt;&gt;""),E5-D5,"")</f>
        <v/>
      </c>
      <c r="N5" s="47">
        <f>IF(AND(G5&lt;&gt;"",F5&lt;&gt;""),G5-F5,"")</f>
        <v/>
      </c>
      <c r="O5" s="43" t="n"/>
      <c r="P5" s="47">
        <f>IF(J5&lt;&gt;"",P4+J5,"")</f>
        <v/>
      </c>
      <c r="Q5" s="42" t="n"/>
    </row>
    <row r="6" ht="15" customHeight="1" s="40">
      <c r="A6" s="48" t="n">
        <v>5</v>
      </c>
      <c r="B6" s="42" t="n"/>
      <c r="C6" s="42" t="n"/>
      <c r="D6" s="43" t="n"/>
      <c r="E6" s="43" t="n"/>
      <c r="F6" s="43" t="n"/>
      <c r="G6" s="43" t="n"/>
      <c r="H6" s="44" t="n"/>
      <c r="I6" s="42" t="n"/>
      <c r="J6" s="45" t="n"/>
      <c r="K6" s="46" t="n"/>
      <c r="L6" s="42" t="n"/>
      <c r="M6" s="47">
        <f>IF(AND(E6&lt;&gt;"",D6&lt;&gt;""),E6-D6,"")</f>
        <v/>
      </c>
      <c r="N6" s="47">
        <f>IF(AND(G6&lt;&gt;"",F6&lt;&gt;""),G6-F6,"")</f>
        <v/>
      </c>
      <c r="O6" s="43" t="n"/>
      <c r="P6" s="47">
        <f>IF(J6&lt;&gt;"",P5+J6,"")</f>
        <v/>
      </c>
      <c r="Q6" s="42" t="n"/>
    </row>
    <row r="7" ht="15" customHeight="1" s="40">
      <c r="A7" s="48" t="n">
        <v>6</v>
      </c>
      <c r="B7" s="42" t="n"/>
      <c r="C7" s="42" t="n"/>
      <c r="D7" s="43" t="n"/>
      <c r="E7" s="43" t="n"/>
      <c r="F7" s="43" t="n"/>
      <c r="G7" s="43" t="n"/>
      <c r="H7" s="44" t="n"/>
      <c r="I7" s="42" t="n"/>
      <c r="J7" s="45" t="n"/>
      <c r="K7" s="46" t="n"/>
      <c r="L7" s="42" t="n"/>
      <c r="M7" s="47">
        <f>IF(AND(E7&lt;&gt;"",D7&lt;&gt;""),E7-D7,"")</f>
        <v/>
      </c>
      <c r="N7" s="47">
        <f>IF(AND(G7&lt;&gt;"",F7&lt;&gt;""),G7-F7,"")</f>
        <v/>
      </c>
      <c r="O7" s="43" t="n"/>
      <c r="P7" s="47">
        <f>IF(J7&lt;&gt;"",P6+J7,"")</f>
        <v/>
      </c>
      <c r="Q7" s="42" t="n"/>
    </row>
    <row r="8" ht="15" customHeight="1" s="40">
      <c r="A8" s="48" t="n">
        <v>7</v>
      </c>
      <c r="B8" s="42" t="n"/>
      <c r="C8" s="42" t="n"/>
      <c r="D8" s="43" t="n"/>
      <c r="E8" s="43" t="n"/>
      <c r="F8" s="43" t="n"/>
      <c r="G8" s="43" t="n"/>
      <c r="H8" s="44" t="n"/>
      <c r="I8" s="42" t="n"/>
      <c r="J8" s="45" t="n"/>
      <c r="K8" s="46" t="n"/>
      <c r="L8" s="42" t="n"/>
      <c r="M8" s="47">
        <f>IF(AND(E8&lt;&gt;"",D8&lt;&gt;""),E8-D8,"")</f>
        <v/>
      </c>
      <c r="N8" s="47">
        <f>IF(AND(G8&lt;&gt;"",F8&lt;&gt;""),G8-F8,"")</f>
        <v/>
      </c>
      <c r="O8" s="43" t="n"/>
      <c r="P8" s="47">
        <f>IF(J8&lt;&gt;"",P7+J8,"")</f>
        <v/>
      </c>
      <c r="Q8" s="42" t="n"/>
    </row>
    <row r="9" ht="15" customHeight="1" s="40">
      <c r="A9" s="48" t="n">
        <v>8</v>
      </c>
      <c r="B9" s="42" t="n"/>
      <c r="C9" s="42" t="n"/>
      <c r="D9" s="43" t="n"/>
      <c r="E9" s="43" t="n"/>
      <c r="F9" s="43" t="n"/>
      <c r="G9" s="43" t="n"/>
      <c r="H9" s="44" t="n"/>
      <c r="I9" s="42" t="n"/>
      <c r="J9" s="45" t="n"/>
      <c r="K9" s="46" t="n"/>
      <c r="L9" s="42" t="n"/>
      <c r="M9" s="47">
        <f>IF(AND(E9&lt;&gt;"",D9&lt;&gt;""),E9-D9,"")</f>
        <v/>
      </c>
      <c r="N9" s="47">
        <f>IF(AND(G9&lt;&gt;"",F9&lt;&gt;""),G9-F9,"")</f>
        <v/>
      </c>
      <c r="O9" s="43" t="n"/>
      <c r="P9" s="47">
        <f>IF(J9&lt;&gt;"",P8+J9,"")</f>
        <v/>
      </c>
      <c r="Q9" s="42" t="n"/>
    </row>
    <row r="10" ht="15" customHeight="1" s="40">
      <c r="A10" s="48" t="n">
        <v>9</v>
      </c>
      <c r="B10" s="42" t="n"/>
      <c r="C10" s="42" t="n"/>
      <c r="D10" s="43" t="n"/>
      <c r="E10" s="43" t="n"/>
      <c r="F10" s="43" t="n"/>
      <c r="G10" s="43" t="n"/>
      <c r="H10" s="44" t="n"/>
      <c r="I10" s="42" t="n"/>
      <c r="J10" s="45" t="n"/>
      <c r="K10" s="46" t="n"/>
      <c r="L10" s="42" t="n"/>
      <c r="M10" s="47">
        <f>IF(AND(E10&lt;&gt;"",D10&lt;&gt;""),E10-D10,"")</f>
        <v/>
      </c>
      <c r="N10" s="47">
        <f>IF(AND(G10&lt;&gt;"",F10&lt;&gt;""),G10-F10,"")</f>
        <v/>
      </c>
      <c r="O10" s="43" t="n"/>
      <c r="P10" s="47">
        <f>IF(J10&lt;&gt;"",P9+J10,"")</f>
        <v/>
      </c>
      <c r="Q10" s="42" t="n"/>
    </row>
    <row r="11" ht="15" customHeight="1" s="40">
      <c r="A11" s="48" t="n">
        <v>10</v>
      </c>
      <c r="B11" s="42" t="n"/>
      <c r="C11" s="42" t="n"/>
      <c r="D11" s="43" t="n"/>
      <c r="E11" s="43" t="n"/>
      <c r="F11" s="43" t="n"/>
      <c r="G11" s="43" t="n"/>
      <c r="H11" s="44" t="n"/>
      <c r="I11" s="42" t="n"/>
      <c r="J11" s="45" t="n"/>
      <c r="K11" s="46" t="n"/>
      <c r="L11" s="42" t="n"/>
      <c r="M11" s="47">
        <f>IF(AND(E11&lt;&gt;"",D11&lt;&gt;""),E11-D11,"")</f>
        <v/>
      </c>
      <c r="N11" s="47">
        <f>IF(AND(G11&lt;&gt;"",F11&lt;&gt;""),G11-F11,"")</f>
        <v/>
      </c>
      <c r="O11" s="43" t="n"/>
      <c r="P11" s="47">
        <f>IF(J11&lt;&gt;"",P10+J11,"")</f>
        <v/>
      </c>
      <c r="Q11" s="42" t="n"/>
    </row>
    <row r="12" ht="15" customHeight="1" s="40">
      <c r="A12" s="48" t="n">
        <v>11</v>
      </c>
      <c r="B12" s="42" t="n"/>
      <c r="C12" s="42" t="n"/>
      <c r="D12" s="43" t="n"/>
      <c r="E12" s="43" t="n"/>
      <c r="F12" s="43" t="n"/>
      <c r="G12" s="43" t="n"/>
      <c r="H12" s="44" t="n"/>
      <c r="I12" s="42" t="n"/>
      <c r="J12" s="45" t="n"/>
      <c r="K12" s="46" t="n"/>
      <c r="L12" s="42" t="n"/>
      <c r="M12" s="47">
        <f>IF(AND(E12&lt;&gt;"",D12&lt;&gt;""),E12-D12,"")</f>
        <v/>
      </c>
      <c r="N12" s="47">
        <f>IF(AND(G12&lt;&gt;"",F12&lt;&gt;""),G12-F12,"")</f>
        <v/>
      </c>
      <c r="O12" s="43" t="n"/>
      <c r="P12" s="47">
        <f>IF(J12&lt;&gt;"",P11+J12,"")</f>
        <v/>
      </c>
      <c r="Q12" s="42" t="n"/>
    </row>
    <row r="13" ht="15" customHeight="1" s="40">
      <c r="A13" s="48" t="n">
        <v>12</v>
      </c>
      <c r="B13" s="42" t="n"/>
      <c r="C13" s="42" t="n"/>
      <c r="D13" s="43" t="n"/>
      <c r="E13" s="43" t="n"/>
      <c r="F13" s="43" t="n"/>
      <c r="G13" s="43" t="n"/>
      <c r="H13" s="44" t="n"/>
      <c r="I13" s="42" t="n"/>
      <c r="J13" s="45" t="n"/>
      <c r="K13" s="46" t="n"/>
      <c r="L13" s="42" t="n"/>
      <c r="M13" s="47">
        <f>IF(AND(E13&lt;&gt;"",D13&lt;&gt;""),E13-D13,"")</f>
        <v/>
      </c>
      <c r="N13" s="47">
        <f>IF(AND(G13&lt;&gt;"",F13&lt;&gt;""),G13-F13,"")</f>
        <v/>
      </c>
      <c r="O13" s="43" t="n"/>
      <c r="P13" s="47">
        <f>IF(J13&lt;&gt;"",P12+J13,"")</f>
        <v/>
      </c>
      <c r="Q13" s="42" t="n"/>
    </row>
    <row r="14" ht="15" customHeight="1" s="40">
      <c r="A14" s="48" t="n">
        <v>13</v>
      </c>
      <c r="B14" s="42" t="n"/>
      <c r="C14" s="42" t="n"/>
      <c r="D14" s="43" t="n"/>
      <c r="E14" s="43" t="n"/>
      <c r="F14" s="43" t="n"/>
      <c r="G14" s="43" t="n"/>
      <c r="H14" s="44" t="n"/>
      <c r="I14" s="42" t="n"/>
      <c r="J14" s="45" t="n"/>
      <c r="K14" s="46" t="n"/>
      <c r="L14" s="42" t="n"/>
      <c r="M14" s="47">
        <f>IF(AND(E14&lt;&gt;"",D14&lt;&gt;""),E14-D14,"")</f>
        <v/>
      </c>
      <c r="N14" s="47">
        <f>IF(AND(G14&lt;&gt;"",F14&lt;&gt;""),G14-F14,"")</f>
        <v/>
      </c>
      <c r="O14" s="43" t="n"/>
      <c r="P14" s="47">
        <f>IF(J14&lt;&gt;"",P13+J14,"")</f>
        <v/>
      </c>
      <c r="Q14" s="42" t="n"/>
    </row>
    <row r="15" ht="15" customHeight="1" s="40">
      <c r="A15" s="48" t="n">
        <v>14</v>
      </c>
      <c r="B15" s="42" t="n"/>
      <c r="C15" s="42" t="n"/>
      <c r="D15" s="43" t="n"/>
      <c r="E15" s="43" t="n"/>
      <c r="F15" s="43" t="n"/>
      <c r="G15" s="43" t="n"/>
      <c r="H15" s="44" t="n"/>
      <c r="I15" s="42" t="n"/>
      <c r="J15" s="45" t="n"/>
      <c r="K15" s="46" t="n"/>
      <c r="L15" s="42" t="n"/>
      <c r="M15" s="47">
        <f>IF(AND(E15&lt;&gt;"",D15&lt;&gt;""),E15-D15,"")</f>
        <v/>
      </c>
      <c r="N15" s="47">
        <f>IF(AND(G15&lt;&gt;"",F15&lt;&gt;""),G15-F15,"")</f>
        <v/>
      </c>
      <c r="O15" s="43" t="n"/>
      <c r="P15" s="47">
        <f>IF(J15&lt;&gt;"",P14+J15,"")</f>
        <v/>
      </c>
      <c r="Q15" s="42" t="n"/>
    </row>
    <row r="16" ht="15" customHeight="1" s="40">
      <c r="A16" s="48" t="n">
        <v>15</v>
      </c>
      <c r="B16" s="42" t="n"/>
      <c r="C16" s="42" t="n"/>
      <c r="D16" s="43" t="n"/>
      <c r="E16" s="43" t="n"/>
      <c r="F16" s="43" t="n"/>
      <c r="G16" s="43" t="n"/>
      <c r="H16" s="44" t="n"/>
      <c r="I16" s="42" t="n"/>
      <c r="J16" s="45" t="n"/>
      <c r="K16" s="46" t="n"/>
      <c r="L16" s="42" t="n"/>
      <c r="M16" s="47">
        <f>IF(AND(E16&lt;&gt;"",D16&lt;&gt;""),E16-D16,"")</f>
        <v/>
      </c>
      <c r="N16" s="47">
        <f>IF(AND(G16&lt;&gt;"",F16&lt;&gt;""),G16-F16,"")</f>
        <v/>
      </c>
      <c r="O16" s="43" t="n"/>
      <c r="P16" s="47">
        <f>IF(J16&lt;&gt;"",P15+J16,"")</f>
        <v/>
      </c>
      <c r="Q16" s="42" t="n"/>
    </row>
    <row r="17" ht="15" customHeight="1" s="40">
      <c r="A17" s="48" t="n">
        <v>16</v>
      </c>
      <c r="B17" s="42" t="n"/>
      <c r="C17" s="42" t="n"/>
      <c r="D17" s="43" t="n"/>
      <c r="E17" s="43" t="n"/>
      <c r="F17" s="43" t="n"/>
      <c r="G17" s="43" t="n"/>
      <c r="H17" s="44" t="n"/>
      <c r="I17" s="42" t="n"/>
      <c r="J17" s="45" t="n"/>
      <c r="K17" s="46" t="n"/>
      <c r="L17" s="42" t="n"/>
      <c r="M17" s="47">
        <f>IF(AND(E17&lt;&gt;"",D17&lt;&gt;""),E17-D17,"")</f>
        <v/>
      </c>
      <c r="N17" s="47">
        <f>IF(AND(G17&lt;&gt;"",F17&lt;&gt;""),G17-F17,"")</f>
        <v/>
      </c>
      <c r="O17" s="43" t="n"/>
      <c r="P17" s="47">
        <f>IF(J17&lt;&gt;"",P16+J17,"")</f>
        <v/>
      </c>
      <c r="Q17" s="42" t="n"/>
    </row>
    <row r="18" ht="15" customHeight="1" s="40">
      <c r="A18" s="48" t="n">
        <v>17</v>
      </c>
      <c r="B18" s="42" t="n"/>
      <c r="C18" s="42" t="n"/>
      <c r="D18" s="43" t="n"/>
      <c r="E18" s="43" t="n"/>
      <c r="F18" s="43" t="n"/>
      <c r="G18" s="43" t="n"/>
      <c r="H18" s="44" t="n"/>
      <c r="I18" s="42" t="n"/>
      <c r="J18" s="45" t="n"/>
      <c r="K18" s="46" t="n"/>
      <c r="L18" s="42" t="n"/>
      <c r="M18" s="47">
        <f>IF(AND(E18&lt;&gt;"",D18&lt;&gt;""),E18-D18,"")</f>
        <v/>
      </c>
      <c r="N18" s="47">
        <f>IF(AND(G18&lt;&gt;"",F18&lt;&gt;""),G18-F18,"")</f>
        <v/>
      </c>
      <c r="O18" s="43" t="n"/>
      <c r="P18" s="47">
        <f>IF(J18&lt;&gt;"",P17+J18,"")</f>
        <v/>
      </c>
      <c r="Q18" s="42" t="n"/>
    </row>
    <row r="19" ht="15" customHeight="1" s="40">
      <c r="A19" s="48" t="n">
        <v>18</v>
      </c>
      <c r="B19" s="42" t="n"/>
      <c r="C19" s="42" t="n"/>
      <c r="D19" s="43" t="n"/>
      <c r="E19" s="43" t="n"/>
      <c r="F19" s="43" t="n"/>
      <c r="G19" s="43" t="n"/>
      <c r="H19" s="44" t="n"/>
      <c r="I19" s="42" t="n"/>
      <c r="J19" s="45" t="n"/>
      <c r="K19" s="46" t="n"/>
      <c r="L19" s="42" t="n"/>
      <c r="M19" s="47">
        <f>IF(AND(E19&lt;&gt;"",D19&lt;&gt;""),E19-D19,"")</f>
        <v/>
      </c>
      <c r="N19" s="47">
        <f>IF(AND(G19&lt;&gt;"",F19&lt;&gt;""),G19-F19,"")</f>
        <v/>
      </c>
      <c r="O19" s="43" t="n"/>
      <c r="P19" s="47">
        <f>IF(J19&lt;&gt;"",P18+J19,"")</f>
        <v/>
      </c>
      <c r="Q19" s="42" t="n"/>
    </row>
    <row r="20" ht="15" customHeight="1" s="40">
      <c r="A20" s="48" t="n">
        <v>19</v>
      </c>
      <c r="B20" s="42" t="n"/>
      <c r="C20" s="42" t="n"/>
      <c r="D20" s="43" t="n"/>
      <c r="E20" s="43" t="n"/>
      <c r="F20" s="43" t="n"/>
      <c r="G20" s="43" t="n"/>
      <c r="H20" s="44" t="n"/>
      <c r="I20" s="42" t="n"/>
      <c r="J20" s="45" t="n"/>
      <c r="K20" s="46" t="n"/>
      <c r="L20" s="42" t="n"/>
      <c r="M20" s="47">
        <f>IF(AND(E20&lt;&gt;"",D20&lt;&gt;""),E20-D20,"")</f>
        <v/>
      </c>
      <c r="N20" s="47">
        <f>IF(AND(G20&lt;&gt;"",F20&lt;&gt;""),G20-F20,"")</f>
        <v/>
      </c>
      <c r="O20" s="43" t="n"/>
      <c r="P20" s="47">
        <f>IF(J20&lt;&gt;"",P19+J20,"")</f>
        <v/>
      </c>
      <c r="Q20" s="42" t="n"/>
    </row>
    <row r="21" ht="15" customHeight="1" s="40">
      <c r="A21" s="48" t="n">
        <v>20</v>
      </c>
      <c r="B21" s="42" t="n"/>
      <c r="C21" s="42" t="n"/>
      <c r="D21" s="43" t="n"/>
      <c r="E21" s="43" t="n"/>
      <c r="F21" s="43" t="n"/>
      <c r="G21" s="43" t="n"/>
      <c r="H21" s="44" t="n"/>
      <c r="I21" s="42" t="n"/>
      <c r="J21" s="45" t="n"/>
      <c r="K21" s="46" t="n"/>
      <c r="L21" s="42" t="n"/>
      <c r="M21" s="47">
        <f>IF(AND(E21&lt;&gt;"",D21&lt;&gt;""),E21-D21,"")</f>
        <v/>
      </c>
      <c r="N21" s="47">
        <f>IF(AND(G21&lt;&gt;"",F21&lt;&gt;""),G21-F21,"")</f>
        <v/>
      </c>
      <c r="O21" s="43" t="n"/>
      <c r="P21" s="47">
        <f>IF(J21&lt;&gt;"",P20+J21,"")</f>
        <v/>
      </c>
      <c r="Q21" s="42" t="n"/>
    </row>
    <row r="22" ht="15" customHeight="1" s="40">
      <c r="A22" s="48" t="n">
        <v>21</v>
      </c>
      <c r="B22" s="42" t="n"/>
      <c r="C22" s="42" t="n"/>
      <c r="D22" s="43" t="n"/>
      <c r="E22" s="43" t="n"/>
      <c r="F22" s="43" t="n"/>
      <c r="G22" s="43" t="n"/>
      <c r="H22" s="44" t="n"/>
      <c r="I22" s="42" t="n"/>
      <c r="J22" s="45" t="n"/>
      <c r="K22" s="46" t="n"/>
      <c r="L22" s="42" t="n"/>
      <c r="M22" s="47">
        <f>IF(AND(E22&lt;&gt;"",D22&lt;&gt;""),E22-D22,"")</f>
        <v/>
      </c>
      <c r="N22" s="47">
        <f>IF(AND(G22&lt;&gt;"",F22&lt;&gt;""),G22-F22,"")</f>
        <v/>
      </c>
      <c r="O22" s="43" t="n"/>
      <c r="P22" s="47">
        <f>IF(J22&lt;&gt;"",P21+J22,"")</f>
        <v/>
      </c>
      <c r="Q22" s="42" t="n"/>
    </row>
    <row r="23" ht="15" customHeight="1" s="40">
      <c r="A23" s="48" t="n">
        <v>22</v>
      </c>
      <c r="B23" s="42" t="n"/>
      <c r="C23" s="42" t="n"/>
      <c r="D23" s="43" t="n"/>
      <c r="E23" s="43" t="n"/>
      <c r="F23" s="43" t="n"/>
      <c r="G23" s="43" t="n"/>
      <c r="H23" s="44" t="n"/>
      <c r="I23" s="42" t="n"/>
      <c r="J23" s="45" t="n"/>
      <c r="K23" s="46" t="n"/>
      <c r="L23" s="42" t="n"/>
      <c r="M23" s="47">
        <f>IF(AND(E23&lt;&gt;"",D23&lt;&gt;""),E23-D23,"")</f>
        <v/>
      </c>
      <c r="N23" s="47">
        <f>IF(AND(G23&lt;&gt;"",F23&lt;&gt;""),G23-F23,"")</f>
        <v/>
      </c>
      <c r="O23" s="43" t="n"/>
      <c r="P23" s="47">
        <f>IF(J23&lt;&gt;"",P22+J23,"")</f>
        <v/>
      </c>
      <c r="Q23" s="42" t="n"/>
    </row>
    <row r="24" ht="15" customHeight="1" s="40">
      <c r="A24" s="48" t="n">
        <v>23</v>
      </c>
      <c r="B24" s="42" t="n"/>
      <c r="C24" s="42" t="n"/>
      <c r="D24" s="43" t="n"/>
      <c r="E24" s="43" t="n"/>
      <c r="F24" s="43" t="n"/>
      <c r="G24" s="43" t="n"/>
      <c r="H24" s="44" t="n"/>
      <c r="I24" s="42" t="n"/>
      <c r="J24" s="45" t="n"/>
      <c r="K24" s="46" t="n"/>
      <c r="L24" s="42" t="n"/>
      <c r="M24" s="47">
        <f>IF(AND(E24&lt;&gt;"",D24&lt;&gt;""),E24-D24,"")</f>
        <v/>
      </c>
      <c r="N24" s="47">
        <f>IF(AND(G24&lt;&gt;"",F24&lt;&gt;""),G24-F24,"")</f>
        <v/>
      </c>
      <c r="O24" s="43" t="n"/>
      <c r="P24" s="47">
        <f>IF(J24&lt;&gt;"",P23+J24,"")</f>
        <v/>
      </c>
      <c r="Q24" s="42" t="n"/>
    </row>
    <row r="25" ht="15" customHeight="1" s="40">
      <c r="A25" s="48" t="n">
        <v>24</v>
      </c>
      <c r="B25" s="42" t="n"/>
      <c r="C25" s="42" t="n"/>
      <c r="D25" s="43" t="n"/>
      <c r="E25" s="43" t="n"/>
      <c r="F25" s="43" t="n"/>
      <c r="G25" s="43" t="n"/>
      <c r="H25" s="44" t="n"/>
      <c r="I25" s="42" t="n"/>
      <c r="J25" s="45" t="n"/>
      <c r="K25" s="46" t="n"/>
      <c r="L25" s="42" t="n"/>
      <c r="M25" s="47">
        <f>IF(AND(E25&lt;&gt;"",D25&lt;&gt;""),E25-D25,"")</f>
        <v/>
      </c>
      <c r="N25" s="47">
        <f>IF(AND(G25&lt;&gt;"",F25&lt;&gt;""),G25-F25,"")</f>
        <v/>
      </c>
      <c r="O25" s="43" t="n"/>
      <c r="P25" s="47">
        <f>IF(J25&lt;&gt;"",P24+J25,"")</f>
        <v/>
      </c>
      <c r="Q25" s="42" t="n"/>
    </row>
    <row r="26" ht="15" customHeight="1" s="40">
      <c r="A26" s="48" t="n">
        <v>25</v>
      </c>
      <c r="B26" s="42" t="n"/>
      <c r="C26" s="42" t="n"/>
      <c r="D26" s="43" t="n"/>
      <c r="E26" s="43" t="n"/>
      <c r="F26" s="43" t="n"/>
      <c r="G26" s="43" t="n"/>
      <c r="H26" s="44" t="n"/>
      <c r="I26" s="42" t="n"/>
      <c r="J26" s="45" t="n"/>
      <c r="K26" s="46" t="n"/>
      <c r="L26" s="42" t="n"/>
      <c r="M26" s="47">
        <f>IF(AND(E26&lt;&gt;"",D26&lt;&gt;""),E26-D26,"")</f>
        <v/>
      </c>
      <c r="N26" s="47">
        <f>IF(AND(G26&lt;&gt;"",F26&lt;&gt;""),G26-F26,"")</f>
        <v/>
      </c>
      <c r="O26" s="43" t="n"/>
      <c r="P26" s="47">
        <f>IF(J26&lt;&gt;"",P25+J26,"")</f>
        <v/>
      </c>
      <c r="Q26" s="42" t="n"/>
    </row>
    <row r="27" ht="15" customHeight="1" s="40">
      <c r="A27" s="48" t="n">
        <v>26</v>
      </c>
      <c r="B27" s="42" t="n"/>
      <c r="C27" s="42" t="n"/>
      <c r="D27" s="43" t="n"/>
      <c r="E27" s="43" t="n"/>
      <c r="F27" s="43" t="n"/>
      <c r="G27" s="43" t="n"/>
      <c r="H27" s="44" t="n"/>
      <c r="I27" s="42" t="n"/>
      <c r="J27" s="45" t="n"/>
      <c r="K27" s="46" t="n"/>
      <c r="L27" s="42" t="n"/>
      <c r="M27" s="47">
        <f>IF(AND(E27&lt;&gt;"",D27&lt;&gt;""),E27-D27,"")</f>
        <v/>
      </c>
      <c r="N27" s="47">
        <f>IF(AND(G27&lt;&gt;"",F27&lt;&gt;""),G27-F27,"")</f>
        <v/>
      </c>
      <c r="O27" s="43" t="n"/>
      <c r="P27" s="47">
        <f>IF(J27&lt;&gt;"",P26+J27,"")</f>
        <v/>
      </c>
      <c r="Q27" s="42" t="n"/>
    </row>
    <row r="28" ht="15" customHeight="1" s="40">
      <c r="A28" s="48" t="n">
        <v>27</v>
      </c>
      <c r="B28" s="42" t="n"/>
      <c r="C28" s="42" t="n"/>
      <c r="D28" s="43" t="n"/>
      <c r="E28" s="43" t="n"/>
      <c r="F28" s="43" t="n"/>
      <c r="G28" s="43" t="n"/>
      <c r="H28" s="44" t="n"/>
      <c r="I28" s="42" t="n"/>
      <c r="J28" s="45" t="n"/>
      <c r="K28" s="46" t="n"/>
      <c r="L28" s="42" t="n"/>
      <c r="M28" s="47">
        <f>IF(AND(E28&lt;&gt;"",D28&lt;&gt;""),E28-D28,"")</f>
        <v/>
      </c>
      <c r="N28" s="47">
        <f>IF(AND(G28&lt;&gt;"",F28&lt;&gt;""),G28-F28,"")</f>
        <v/>
      </c>
      <c r="O28" s="43" t="n"/>
      <c r="P28" s="47">
        <f>IF(J28&lt;&gt;"",P27+J28,"")</f>
        <v/>
      </c>
      <c r="Q28" s="42" t="n"/>
    </row>
    <row r="29" ht="15" customHeight="1" s="40">
      <c r="A29" s="48" t="n">
        <v>28</v>
      </c>
      <c r="B29" s="42" t="n"/>
      <c r="C29" s="42" t="n"/>
      <c r="D29" s="43" t="n"/>
      <c r="E29" s="43" t="n"/>
      <c r="F29" s="43" t="n"/>
      <c r="G29" s="43" t="n"/>
      <c r="H29" s="44" t="n"/>
      <c r="I29" s="42" t="n"/>
      <c r="J29" s="45" t="n"/>
      <c r="K29" s="46" t="n"/>
      <c r="L29" s="42" t="n"/>
      <c r="M29" s="47">
        <f>IF(AND(E29&lt;&gt;"",D29&lt;&gt;""),E29-D29,"")</f>
        <v/>
      </c>
      <c r="N29" s="47">
        <f>IF(AND(G29&lt;&gt;"",F29&lt;&gt;""),G29-F29,"")</f>
        <v/>
      </c>
      <c r="O29" s="43" t="n"/>
      <c r="P29" s="47">
        <f>IF(J29&lt;&gt;"",P28+J29,"")</f>
        <v/>
      </c>
      <c r="Q29" s="42" t="n"/>
    </row>
    <row r="30" ht="15" customHeight="1" s="40">
      <c r="A30" s="48" t="n">
        <v>29</v>
      </c>
      <c r="B30" s="42" t="n"/>
      <c r="C30" s="42" t="n"/>
      <c r="D30" s="43" t="n"/>
      <c r="E30" s="43" t="n"/>
      <c r="F30" s="43" t="n"/>
      <c r="G30" s="43" t="n"/>
      <c r="H30" s="44" t="n"/>
      <c r="I30" s="42" t="n"/>
      <c r="J30" s="45" t="n"/>
      <c r="K30" s="46" t="n"/>
      <c r="L30" s="42" t="n"/>
      <c r="M30" s="47">
        <f>IF(AND(E30&lt;&gt;"",D30&lt;&gt;""),E30-D30,"")</f>
        <v/>
      </c>
      <c r="N30" s="47">
        <f>IF(AND(G30&lt;&gt;"",F30&lt;&gt;""),G30-F30,"")</f>
        <v/>
      </c>
      <c r="O30" s="43" t="n"/>
      <c r="P30" s="47">
        <f>IF(J30&lt;&gt;"",P29+J30,"")</f>
        <v/>
      </c>
      <c r="Q30" s="42" t="n"/>
    </row>
    <row r="31" ht="15" customHeight="1" s="40">
      <c r="A31" s="48" t="n">
        <v>30</v>
      </c>
      <c r="B31" s="42" t="n"/>
      <c r="C31" s="42" t="n"/>
      <c r="D31" s="43" t="n"/>
      <c r="E31" s="43" t="n"/>
      <c r="F31" s="43" t="n"/>
      <c r="G31" s="43" t="n"/>
      <c r="H31" s="44" t="n"/>
      <c r="I31" s="42" t="n"/>
      <c r="J31" s="45" t="n"/>
      <c r="K31" s="46" t="n"/>
      <c r="L31" s="42" t="n"/>
      <c r="M31" s="47">
        <f>IF(AND(E31&lt;&gt;"",D31&lt;&gt;""),E31-D31,"")</f>
        <v/>
      </c>
      <c r="N31" s="47">
        <f>IF(AND(G31&lt;&gt;"",F31&lt;&gt;""),G31-F31,"")</f>
        <v/>
      </c>
      <c r="O31" s="43" t="n"/>
      <c r="P31" s="47">
        <f>IF(J31&lt;&gt;"",P30+J31,"")</f>
        <v/>
      </c>
      <c r="Q31" s="42" t="n"/>
    </row>
  </sheetData>
  <conditionalFormatting sqref="J2:J31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9" min="1" max="1"/>
    <col width="15" customWidth="1" style="39" min="2" max="3"/>
    <col width="18" customWidth="1" style="39" min="4" max="4"/>
  </cols>
  <sheetData>
    <row r="1" ht="17.35" customHeight="1" s="40">
      <c r="A1" s="49" t="inlineStr">
        <is>
          <t>VARIANT C — LIVE PERFORMANCE vs BACKTEST</t>
        </is>
      </c>
    </row>
    <row r="3" ht="15" customHeight="1" s="40">
      <c r="A3" s="50" t="inlineStr">
        <is>
          <t>Trade Counts</t>
        </is>
      </c>
    </row>
    <row r="4" ht="15" customHeight="1" s="40">
      <c r="A4" s="51" t="inlineStr">
        <is>
          <t>Trades complete</t>
        </is>
      </c>
      <c r="B4" s="52">
        <f>COUNTA('Trade Log'!I2:I31)</f>
        <v/>
      </c>
    </row>
    <row r="5" ht="15" customHeight="1" s="40">
      <c r="A5" s="51" t="inlineStr">
        <is>
          <t>Trades remaining to gate</t>
        </is>
      </c>
      <c r="B5" s="52">
        <f>30-B4</f>
        <v/>
      </c>
    </row>
    <row r="6" ht="15" customHeight="1" s="40">
      <c r="A6" s="51" t="inlineStr">
        <is>
          <t>MONDAY_EXIT count</t>
        </is>
      </c>
      <c r="B6" s="52">
        <f>COUNTIF('Trade Log'!I2:I31,"MONDAY_EXIT")</f>
        <v/>
      </c>
    </row>
    <row r="7" ht="15" customHeight="1" s="40">
      <c r="A7" s="51" t="inlineStr">
        <is>
          <t>SL_HIT count</t>
        </is>
      </c>
      <c r="B7" s="52">
        <f>COUNTIF('Trade Log'!I2:I31,"SL_HIT")</f>
        <v/>
      </c>
    </row>
    <row r="8" ht="15" customHeight="1" s="40">
      <c r="A8" s="51" t="inlineStr">
        <is>
          <t>SL_HIT rate</t>
        </is>
      </c>
      <c r="B8" s="53">
        <f>IF(B4&gt;0,B7/B4,"")</f>
        <v/>
      </c>
    </row>
    <row r="10" ht="15" customHeight="1" s="40">
      <c r="A10" s="50" t="inlineStr">
        <is>
          <t>P&amp;L Performance</t>
        </is>
      </c>
      <c r="B10" s="54" t="inlineStr">
        <is>
          <t>Live</t>
        </is>
      </c>
      <c r="C10" s="54" t="inlineStr">
        <is>
          <t>Backtest</t>
        </is>
      </c>
      <c r="D10" s="54" t="inlineStr">
        <is>
          <t>Delta</t>
        </is>
      </c>
    </row>
    <row r="11" ht="15" customHeight="1" s="40">
      <c r="A11" s="55" t="inlineStr">
        <is>
          <t>Total P&amp;L USD</t>
        </is>
      </c>
      <c r="B11" s="56">
        <f>IFERROR(SUM('Trade Log'!J2:J31),"")</f>
        <v/>
      </c>
      <c r="C11" s="57">
        <f>Reference!B5*B4/Reference!B4</f>
        <v/>
      </c>
      <c r="D11" s="56">
        <f>IFERROR(B11-C11,"")</f>
        <v/>
      </c>
    </row>
    <row r="12" ht="15" customHeight="1" s="40">
      <c r="A12" s="55" t="inlineStr">
        <is>
          <t>Avg P&amp;L per trade</t>
        </is>
      </c>
      <c r="B12" s="56">
        <f>IFERROR(B11/B4,"")</f>
        <v/>
      </c>
      <c r="C12" s="57">
        <f>Reference!B5/Reference!B4</f>
        <v/>
      </c>
      <c r="D12" s="56">
        <f>IFERROR(B12-C12,"")</f>
        <v/>
      </c>
    </row>
    <row r="13" ht="15" customHeight="1" s="40">
      <c r="A13" s="55" t="inlineStr">
        <is>
          <t>Win rate</t>
        </is>
      </c>
      <c r="B13" s="58">
        <f>IFERROR(COUNTIF('Trade Log'!K2:K31,"&gt;0")/B4,"")</f>
        <v/>
      </c>
      <c r="C13" s="59">
        <f>Reference!B7</f>
        <v/>
      </c>
      <c r="D13" s="58">
        <f>IFERROR(B13-C13,"")</f>
        <v/>
      </c>
    </row>
    <row r="14" ht="15" customHeight="1" s="40">
      <c r="A14" s="55" t="inlineStr">
        <is>
          <t>Profit factor</t>
        </is>
      </c>
      <c r="B14" s="60">
        <f>IFERROR(SUMIF('Trade Log'!K2:K31,"&gt;0",'Trade Log'!J2:J31)/ABS(SUMIF('Trade Log'!K2:K31,"&lt;0",'Trade Log'!J2:J31)),"")</f>
        <v/>
      </c>
      <c r="C14" s="61">
        <f>Reference!B6</f>
        <v/>
      </c>
      <c r="D14" s="60">
        <f>IFERROR(B14-C14,"")</f>
        <v/>
      </c>
    </row>
    <row r="15" ht="15" customHeight="1" s="40">
      <c r="A15" s="55" t="inlineStr">
        <is>
          <t>Best trade</t>
        </is>
      </c>
      <c r="B15" s="56">
        <f>IFERROR(MAX('Trade Log'!J2:J31),"")</f>
        <v/>
      </c>
      <c r="C15" s="57">
        <f>Reference!B8</f>
        <v/>
      </c>
      <c r="D15" s="56">
        <f>IFERROR(B15-C15,"")</f>
        <v/>
      </c>
    </row>
    <row r="16" ht="15" customHeight="1" s="40">
      <c r="A16" s="55" t="inlineStr">
        <is>
          <t>Worst trade</t>
        </is>
      </c>
      <c r="B16" s="56">
        <f>IFERROR(MIN('Trade Log'!J2:J31),"")</f>
        <v/>
      </c>
      <c r="C16" s="57">
        <f>Reference!B9</f>
        <v/>
      </c>
      <c r="D16" s="56">
        <f>IFERROR(B16-C16,"")</f>
        <v/>
      </c>
    </row>
    <row r="18" ht="15" customHeight="1" s="40">
      <c r="A18" s="50" t="inlineStr">
        <is>
          <t>Account &amp; Drawdown</t>
        </is>
      </c>
    </row>
    <row r="19" ht="15" customHeight="1" s="40">
      <c r="A19" s="39" t="inlineStr">
        <is>
          <t>Starting balance</t>
        </is>
      </c>
      <c r="B19" s="62" t="n">
        <v>731.29</v>
      </c>
    </row>
    <row r="20" ht="15" customHeight="1" s="40">
      <c r="A20" s="39" t="inlineStr">
        <is>
          <t>Current balance</t>
        </is>
      </c>
      <c r="B20" s="63">
        <f>IFERROR(LOOKUP(2,1/('Trade Log'!O2:O31&lt;&gt;""),'Trade Log'!O2:O31),B19)</f>
        <v/>
      </c>
    </row>
    <row r="21" ht="15" customHeight="1" s="40">
      <c r="A21" s="39" t="inlineStr">
        <is>
          <t>Total return %</t>
        </is>
      </c>
      <c r="B21" s="64">
        <f>(B20-B19)/B19</f>
        <v/>
      </c>
    </row>
    <row r="22" ht="15" customHeight="1" s="40">
      <c r="A22" s="39" t="inlineStr">
        <is>
          <t>Peak balance (running max)</t>
        </is>
      </c>
      <c r="B22" s="63">
        <f>IFERROR(MAX(B19,MAX('Trade Log'!O2:O31)),B19)</f>
        <v/>
      </c>
    </row>
    <row r="23" ht="15" customHeight="1" s="40">
      <c r="A23" s="39" t="inlineStr">
        <is>
          <t>Current drawdown from peak</t>
        </is>
      </c>
      <c r="B23" s="64">
        <f>IF(B22&gt;0,(B22-B20)/B22,0)</f>
        <v/>
      </c>
    </row>
    <row r="25" ht="15" customHeight="1" s="40">
      <c r="A25" s="50" t="inlineStr">
        <is>
          <t>Gate Review Status</t>
        </is>
      </c>
    </row>
    <row r="26" ht="15" customHeight="1" s="40">
      <c r="A26" s="65" t="inlineStr">
        <is>
          <t>Gate</t>
        </is>
      </c>
      <c r="B26" s="65" t="inlineStr">
        <is>
          <t>Threshold</t>
        </is>
      </c>
      <c r="C26" s="65" t="inlineStr">
        <is>
          <t>Live</t>
        </is>
      </c>
      <c r="D26" s="65" t="inlineStr">
        <is>
          <t>Status</t>
        </is>
      </c>
    </row>
    <row r="27" ht="15" customHeight="1" s="40">
      <c r="A27" s="55" t="inlineStr">
        <is>
          <t>Trade count</t>
        </is>
      </c>
      <c r="B27" s="66" t="n">
        <v>30</v>
      </c>
      <c r="C27" s="67">
        <f>B4</f>
        <v/>
      </c>
      <c r="D27" s="68">
        <f>IF(B4&gt;=30,"REVIEW NOW",IF(B4&gt;=20,"Approaching","Accumulating"))</f>
        <v/>
      </c>
    </row>
    <row r="28" ht="15" customHeight="1" s="40">
      <c r="A28" s="55" t="inlineStr">
        <is>
          <t>Profit factor (adj)</t>
        </is>
      </c>
      <c r="B28" s="69" t="n">
        <v>1.1</v>
      </c>
      <c r="C28" s="70">
        <f>B14</f>
        <v/>
      </c>
      <c r="D28" s="68">
        <f>IF(B4&lt;10,"Need more data",IF(B14&gt;=1.1,"PASS","FAIL"))</f>
        <v/>
      </c>
    </row>
    <row r="29" ht="15" customHeight="1" s="40">
      <c r="A29" s="55" t="inlineStr">
        <is>
          <t>Max drawdown</t>
        </is>
      </c>
      <c r="B29" s="71" t="n">
        <v>0.15</v>
      </c>
      <c r="C29" s="72">
        <f>B23</f>
        <v/>
      </c>
      <c r="D29" s="68">
        <f>IF(B23&lt;=0.15,"PASS","FAIL")</f>
        <v/>
      </c>
    </row>
    <row r="30" ht="15" customHeight="1" s="40">
      <c r="A30" s="55" t="inlineStr">
        <is>
          <t>Win rate</t>
        </is>
      </c>
      <c r="B30" s="71" t="n">
        <v>0.45</v>
      </c>
      <c r="C30" s="72">
        <f>B13</f>
        <v/>
      </c>
      <c r="D30" s="68">
        <f>IF(B4&lt;10,"Need more data",IF(B13&gt;=0.45,"PASS","FAIL"))</f>
        <v/>
      </c>
    </row>
  </sheetData>
  <mergeCells count="4">
    <mergeCell ref="A1:D1"/>
    <mergeCell ref="A18:D18"/>
    <mergeCell ref="A3:D3"/>
    <mergeCell ref="A25:D25"/>
  </mergeCells>
  <conditionalFormatting sqref="D27:D30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39" min="1" max="1"/>
    <col width="15" customWidth="1" style="39" min="2" max="3"/>
  </cols>
  <sheetData>
    <row r="1" ht="17.35" customHeight="1" s="40">
      <c r="A1" s="49" t="inlineStr">
        <is>
          <t>BACKTEST BASELINES &amp; GATE NOTES</t>
        </is>
      </c>
    </row>
    <row r="3" ht="15" customHeight="1" s="40">
      <c r="A3" s="73" t="inlineStr">
        <is>
          <t>Variant C Backtest (KRAKEN:BTCUSD daily, Jan 2024 – Apr 2026)</t>
        </is>
      </c>
    </row>
    <row r="4" ht="15" customHeight="1" s="40">
      <c r="A4" s="55" t="inlineStr">
        <is>
          <t>Total trades</t>
        </is>
      </c>
      <c r="B4" s="74" t="n">
        <v>121</v>
      </c>
    </row>
    <row r="5" ht="15" customHeight="1" s="40">
      <c r="A5" s="55" t="inlineStr">
        <is>
          <t>Total P&amp;L (% of equity)</t>
        </is>
      </c>
      <c r="B5" s="74" t="n">
        <v>9</v>
      </c>
    </row>
    <row r="6" ht="15" customHeight="1" s="40">
      <c r="A6" s="55" t="inlineStr">
        <is>
          <t>Profit factor</t>
        </is>
      </c>
      <c r="B6" s="69" t="n">
        <v>1.207</v>
      </c>
    </row>
    <row r="7" ht="15" customHeight="1" s="40">
      <c r="A7" s="55" t="inlineStr">
        <is>
          <t>Win rate</t>
        </is>
      </c>
      <c r="B7" s="75" t="n">
        <v>0.5041</v>
      </c>
    </row>
    <row r="8" ht="15" customHeight="1" s="40">
      <c r="A8" s="55" t="inlineStr">
        <is>
          <t>Best trade %</t>
        </is>
      </c>
      <c r="B8" s="74" t="n">
        <v>9.98</v>
      </c>
    </row>
    <row r="9" ht="15" customHeight="1" s="40">
      <c r="A9" s="55" t="inlineStr">
        <is>
          <t>Worst trade %</t>
        </is>
      </c>
      <c r="B9" s="74" t="n">
        <v>-8.93</v>
      </c>
    </row>
    <row r="10" ht="15" customHeight="1" s="40">
      <c r="A10" s="55" t="inlineStr">
        <is>
          <t>Max drawdown</t>
        </is>
      </c>
      <c r="B10" s="75" t="n">
        <v>0.1016</v>
      </c>
    </row>
    <row r="11" ht="15" customHeight="1" s="40">
      <c r="A11" s="55" t="inlineStr">
        <is>
          <t>Avg trades per month</t>
        </is>
      </c>
      <c r="B11" s="76">
        <f>B4/28</f>
        <v/>
      </c>
    </row>
    <row r="13" ht="15" customHeight="1" s="40">
      <c r="A13" s="73" t="inlineStr">
        <is>
          <t>Adjusted Gates (per Phase 1B addendum lessons)</t>
        </is>
      </c>
    </row>
    <row r="14" ht="15" customHeight="1" s="40">
      <c r="A14" s="55" t="inlineStr">
        <is>
          <t>PF ≥ 1.10 acceptable, 1.15 strong, &lt;0.95 stop &amp; rebuild</t>
        </is>
      </c>
    </row>
    <row r="15" ht="15" customHeight="1" s="40">
      <c r="A15" s="55" t="inlineStr">
        <is>
          <t>DD ≤ 15% acceptable, ≤ 12% strong, &gt; 18% stop</t>
        </is>
      </c>
    </row>
    <row r="16" ht="15" customHeight="1" s="40">
      <c r="A16" s="55" t="inlineStr">
        <is>
          <t>WR ≥ 45% acceptable (was 50%, adjusted for SL_HIT quirk)</t>
        </is>
      </c>
    </row>
    <row r="17" ht="15" customHeight="1" s="40">
      <c r="A17" s="55" t="n"/>
    </row>
    <row r="18" ht="15" customHeight="1" s="40">
      <c r="A18" s="55" t="inlineStr">
        <is>
          <t>Reasoning: Backtest PF 1.207 is likely optimistic by ~0.05-0.10</t>
        </is>
      </c>
    </row>
    <row r="19" ht="15" customHeight="1" s="40">
      <c r="A19" s="55" t="inlineStr">
        <is>
          <t>due to Pine SL_HIT bar-close-fill accounting quirk discovered</t>
        </is>
      </c>
    </row>
    <row r="20" ht="15" customHeight="1" s="40">
      <c r="A20" s="55" t="inlineStr">
        <is>
          <t>3 May 2026. Live SL hits will be cleaner -3% losses than backtest.</t>
        </is>
      </c>
    </row>
    <row r="21" ht="15" customHeight="1" s="40">
      <c r="A21" s="77" t="inlineStr">
        <is>
          <t>See: Operation_OnChain_Phase1B_Addendum_2026-05-03.md</t>
        </is>
      </c>
    </row>
    <row r="23" ht="15" customHeight="1" s="40">
      <c r="A23" s="73" t="inlineStr">
        <is>
          <t>Live Risk Parameters</t>
        </is>
      </c>
    </row>
    <row r="24" ht="15" customHeight="1" s="40">
      <c r="A24" s="55" t="inlineStr">
        <is>
          <t>Risk per trade</t>
        </is>
      </c>
      <c r="B24" s="75" t="n">
        <v>0.005</v>
      </c>
    </row>
    <row r="25" ht="15" customHeight="1" s="40">
      <c r="A25" s="55" t="inlineStr">
        <is>
          <t>SL distance</t>
        </is>
      </c>
      <c r="B25" s="75" t="n">
        <v>0.03</v>
      </c>
    </row>
    <row r="26" ht="15" customHeight="1" s="40">
      <c r="A26" s="55" t="inlineStr">
        <is>
          <t>Max consecutive losses (pause)</t>
        </is>
      </c>
      <c r="B26" s="74" t="n">
        <v>3</v>
      </c>
    </row>
    <row r="27" ht="15" customHeight="1" s="40">
      <c r="A27" s="55" t="inlineStr">
        <is>
          <t>Drawdown reduction trigger</t>
        </is>
      </c>
      <c r="B27" s="75" t="n">
        <v>0.1</v>
      </c>
    </row>
    <row r="29" ht="15" customHeight="1" s="40">
      <c r="A29" s="73" t="inlineStr">
        <is>
          <t>Scaling Plan</t>
        </is>
      </c>
    </row>
    <row r="30" ht="15" customHeight="1" s="40">
      <c r="A30" s="55" t="inlineStr">
        <is>
          <t>After 30 successful trades: scale risk_per_trade 0.005 → 0.01</t>
        </is>
      </c>
    </row>
    <row r="31" ht="15" customHeight="1" s="40">
      <c r="A31" s="55" t="inlineStr">
        <is>
          <t>After 60 successful trades: consider expanding pair universe</t>
        </is>
      </c>
    </row>
    <row r="32" ht="15" customHeight="1" s="40">
      <c r="A32" s="55" t="inlineStr">
        <is>
          <t>If gates fail at 30 trades: retire, do not rationalize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2026-05-06T06:04:08Z</dcterms:created>
  <dcterms:modified xsi:type="dcterms:W3CDTF">2026-05-12T07:02:31Z</dcterms:modified>
  <cp:revision>0</cp:revision>
</cp:coreProperties>
</file>